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周计划" sheetId="2" state="visible" r:id="rId2"/>
    <sheet xmlns:r="http://schemas.openxmlformats.org/officeDocument/2006/relationships" name="行测模块" sheetId="3" state="visible" r:id="rId3"/>
    <sheet xmlns:r="http://schemas.openxmlformats.org/officeDocument/2006/relationships" name="申论模块" sheetId="4" state="visible" r:id="rId4"/>
    <sheet xmlns:r="http://schemas.openxmlformats.org/officeDocument/2006/relationships" name="时间方案" sheetId="5" state="visible" r:id="rId5"/>
  </sheets>
  <definedNames>
    <definedName name="_xlnm._FilterDatabase" localSheetId="1" hidden="1">'周计划'!$A$3:$K$23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9">
    <font>
      <name val="Calibri"/>
      <family val="2"/>
      <color theme="1"/>
      <sz val="11"/>
      <scheme val="minor"/>
    </font>
    <font>
      <name val="微软雅黑"/>
      <b val="1"/>
      <color rgb="FFFFFFFF"/>
      <sz val="16"/>
    </font>
    <font>
      <name val="微软雅黑"/>
      <color rgb="FF5F5E5A"/>
      <sz val="9.5"/>
    </font>
    <font>
      <name val="微软雅黑"/>
      <color rgb="FF5F5E5A"/>
      <sz val="9"/>
    </font>
    <font>
      <name val="微软雅黑"/>
      <b val="1"/>
      <color rgb="FF548235"/>
      <sz val="15"/>
    </font>
    <font>
      <name val="微软雅黑"/>
      <b val="1"/>
      <color rgb="FF548235"/>
      <sz val="11.5"/>
    </font>
    <font>
      <name val="微软雅黑"/>
      <b val="1"/>
      <color rgb="FFFFFFFF"/>
      <sz val="10"/>
    </font>
    <font>
      <name val="微软雅黑"/>
      <color rgb="FF1A1A1A"/>
      <sz val="9.5"/>
    </font>
    <font>
      <name val="微软雅黑"/>
      <b val="1"/>
      <color rgb="FF1A1A1A"/>
      <sz val="9.5"/>
    </font>
  </fonts>
  <fills count="6">
    <fill>
      <patternFill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548235"/>
        <bgColor rgb="FF548235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9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1" fontId="7" fillId="0" borderId="1" applyAlignment="1" pivotButton="0" quotePrefix="0" xfId="0">
      <alignment horizontal="center" vertical="center" wrapText="1"/>
    </xf>
    <xf numFmtId="9" fontId="0" fillId="0" borderId="0" pivotButton="0" quotePrefix="0" xfId="0"/>
    <xf numFmtId="165" fontId="7" fillId="0" borderId="1" applyAlignment="1" pivotButton="0" quotePrefix="0" xfId="0">
      <alignment horizontal="center" vertical="center" wrapText="1"/>
    </xf>
    <xf numFmtId="165" fontId="8" fillId="4" borderId="1" applyAlignment="1" pivotButton="0" quotePrefix="0" xfId="0">
      <alignment horizontal="center" vertical="center" wrapText="1"/>
    </xf>
    <xf numFmtId="9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name val="微软雅黑"/>
        <color rgb="FF006100"/>
        <sz val="9.5"/>
      </font>
      <fill>
        <patternFill patternType="solid">
          <fgColor rgb="FFC6EFCE"/>
          <bgColor rgb="FFC6EFCE"/>
        </patternFill>
      </fill>
    </dxf>
    <dxf>
      <font>
        <name val="微软雅黑"/>
        <color rgb="FF9C6500"/>
        <sz val="9.5"/>
      </font>
      <fill>
        <patternFill patternType="solid">
          <fgColor rgb="FFFFEB9C"/>
          <bgColor rgb="FFFFEB9C"/>
        </patternFill>
      </fill>
    </dxf>
    <dxf>
      <font>
        <name val="微软雅黑"/>
        <color rgb="FF9C0006"/>
        <sz val="9.5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6" customWidth="1" min="4" max="4"/>
    <col width="15" customWidth="1" min="5" max="5"/>
    <col width="48" customWidth="1" min="6" max="6"/>
    <col width="36" customWidth="1" min="7" max="7"/>
  </cols>
  <sheetData>
    <row r="1" ht="34" customHeight="1">
      <c r="A1" s="1" t="inlineStr">
        <is>
          <t>2027年安徽省考备考规划（安庆县级岗位·申论B卷）</t>
        </is>
      </c>
    </row>
    <row r="2" ht="22" customHeight="1">
      <c r="A2" s="2" t="inlineStr">
        <is>
          <t>规划周期 2026-10-27 至 2027-03-13｜预计笔试 2027-03-13（周六）｜按 20 周编排</t>
        </is>
      </c>
    </row>
    <row r="4" ht="22" customHeight="1">
      <c r="B4" s="3" t="inlineStr">
        <is>
          <t>备考周期</t>
        </is>
      </c>
      <c r="C4" s="3" t="inlineStr">
        <is>
          <t>距笔试</t>
        </is>
      </c>
      <c r="D4" s="3" t="inlineStr">
        <is>
          <t>目标合成分</t>
        </is>
      </c>
      <c r="E4" s="3" t="inlineStr">
        <is>
          <t>总学时(在职)</t>
        </is>
      </c>
    </row>
    <row r="5" ht="34" customHeight="1">
      <c r="B5" s="4" t="inlineStr">
        <is>
          <t>20 周</t>
        </is>
      </c>
      <c r="C5" s="5">
        <f>DATE(2027,3,13)-TODAY()</f>
        <v>137.0</v>
      </c>
      <c r="D5" s="4" t="inlineStr">
        <is>
          <t>70 分</t>
        </is>
      </c>
      <c r="E5" s="4" t="inlineStr">
        <is>
          <t>440 h</t>
        </is>
      </c>
    </row>
    <row r="7" ht="24" customHeight="1">
      <c r="A7" s="6" t="inlineStr">
        <is>
          <t>一、阶段划分与时间分配</t>
        </is>
      </c>
    </row>
    <row r="8" ht="28" customHeight="1">
      <c r="A8" s="7" t="inlineStr">
        <is>
          <t>阶段</t>
        </is>
      </c>
      <c r="B8" s="7" t="inlineStr">
        <is>
          <t>开始日期</t>
        </is>
      </c>
      <c r="C8" s="7" t="inlineStr">
        <is>
          <t>结束日期</t>
        </is>
      </c>
      <c r="D8" s="7" t="inlineStr">
        <is>
          <t>周数</t>
        </is>
      </c>
      <c r="E8" s="7" t="inlineStr">
        <is>
          <t>时间占比</t>
        </is>
      </c>
      <c r="F8" s="7" t="inlineStr">
        <is>
          <t>核心任务</t>
        </is>
      </c>
      <c r="G8" s="7" t="inlineStr">
        <is>
          <t>验收标准</t>
        </is>
      </c>
    </row>
    <row r="9" ht="52" customHeight="1">
      <c r="A9" s="8" t="inlineStr">
        <is>
          <t>基础学习</t>
        </is>
      </c>
      <c r="B9" s="9" t="n">
        <v>46322</v>
      </c>
      <c r="C9" s="9" t="n">
        <v>46362</v>
      </c>
      <c r="D9" s="8" t="n">
        <v>6</v>
      </c>
      <c r="E9" s="10" t="n">
        <v>0.3</v>
      </c>
      <c r="F9" s="11" t="inlineStr">
        <is>
          <t>行测六大模块系统过一遍，搭建知识框架与公式体系；申论B卷四种题型认知，归纳概括打底</t>
        </is>
      </c>
      <c r="G9" s="11" t="inlineStr">
        <is>
          <t>行测各模块基础正确率≥65%；完成1套真题摸底并建错题本</t>
        </is>
      </c>
    </row>
    <row r="10" ht="52" customHeight="1">
      <c r="A10" s="8" t="inlineStr">
        <is>
          <t>专项强化</t>
        </is>
      </c>
      <c r="B10" s="9" t="n">
        <v>46363</v>
      </c>
      <c r="C10" s="9" t="n">
        <v>46404</v>
      </c>
      <c r="D10" s="8" t="n">
        <v>6</v>
      </c>
      <c r="E10" s="10" t="n">
        <v>0.3</v>
      </c>
      <c r="F10" s="11" t="inlineStr">
        <is>
          <t>弱项专项突破；政治理论（新增模块）从零补课并跟进时政；申论应用文与文章写作成型</t>
        </is>
      </c>
      <c r="G10" s="11" t="inlineStr">
        <is>
          <t>行测稳定65+；申论能独立限时写完4题</t>
        </is>
      </c>
    </row>
    <row r="11" ht="52" customHeight="1">
      <c r="A11" s="8" t="inlineStr">
        <is>
          <t>真题训练</t>
        </is>
      </c>
      <c r="B11" s="9" t="n">
        <v>46405</v>
      </c>
      <c r="C11" s="9" t="n">
        <v>46439</v>
      </c>
      <c r="D11" s="8" t="n">
        <v>5</v>
      </c>
      <c r="E11" s="10" t="n">
        <v>0.25</v>
      </c>
      <c r="F11" s="11" t="inlineStr">
        <is>
          <t>安徽近3年真题＋联考省份真题，严格限时；错题归因三刷（含春节弹性周）</t>
        </is>
      </c>
      <c r="G11" s="11" t="inlineStr">
        <is>
          <t>真题≥6套；行测稳定68+</t>
        </is>
      </c>
    </row>
    <row r="12" ht="52" customHeight="1">
      <c r="A12" s="8" t="inlineStr">
        <is>
          <t>冲刺模考</t>
        </is>
      </c>
      <c r="B12" s="9" t="n">
        <v>46440</v>
      </c>
      <c r="C12" s="9" t="n">
        <v>46459</v>
      </c>
      <c r="D12" s="8" t="n">
        <v>3</v>
      </c>
      <c r="E12" s="10" t="n">
        <v>0.15</v>
      </c>
      <c r="F12" s="11" t="inlineStr">
        <is>
          <t>按考试时段全真模考，固化答题顺序与时间分配，调整生物钟与状态</t>
        </is>
      </c>
      <c r="G12" s="11" t="inlineStr">
        <is>
          <t>模考≥6次；笔试合成分稳定70+</t>
        </is>
      </c>
    </row>
    <row r="13" ht="26" customHeight="1">
      <c r="A13" s="12" t="inlineStr">
        <is>
          <t>合计</t>
        </is>
      </c>
      <c r="B13" s="13" t="n"/>
      <c r="C13" s="13" t="n"/>
      <c r="D13" s="12">
        <f>SUM(D9:D12)</f>
        <v>20.0</v>
      </c>
      <c r="E13" s="12">
        <f>SUM(E9:E12)</f>
        <v>1.0</v>
      </c>
      <c r="F13" s="13" t="inlineStr">
        <is>
          <t>20 周完成一轮完整闭环</t>
        </is>
      </c>
      <c r="G13" s="13" t="n"/>
    </row>
    <row r="15" ht="24" customHeight="1">
      <c r="A15" s="6" t="inlineStr">
        <is>
          <t>二、关键节点（按 2026 年节奏推算，以正式公告为准）</t>
        </is>
      </c>
    </row>
    <row r="16" ht="28" customHeight="1">
      <c r="A16" s="7" t="inlineStr">
        <is>
          <t>预计时间</t>
        </is>
      </c>
      <c r="B16" s="7" t="inlineStr">
        <is>
          <t>事项</t>
        </is>
      </c>
      <c r="C16" s="14" t="n"/>
      <c r="D16" s="7" t="inlineStr"/>
      <c r="E16" s="15" t="n"/>
      <c r="F16" s="15" t="n"/>
      <c r="G16" s="14" t="n"/>
    </row>
    <row r="17" ht="32" customHeight="1">
      <c r="A17" s="8" t="inlineStr">
        <is>
          <t>2027-01-15 前后</t>
        </is>
      </c>
      <c r="B17" s="11" t="inlineStr">
        <is>
          <t>公告与职位表发布</t>
        </is>
      </c>
      <c r="C17" s="11" t="n"/>
      <c r="D17" s="11" t="inlineStr">
        <is>
          <t>安徽先锋网首发。当天就筛岗：专业(计算机类) → 应届/基层经历 → 招录≥3人 → 县区，四级筛选</t>
        </is>
      </c>
      <c r="E17" s="11" t="n"/>
      <c r="F17" s="11" t="n"/>
      <c r="G17" s="11" t="n"/>
    </row>
    <row r="18" ht="32" customHeight="1">
      <c r="A18" s="8" t="inlineStr">
        <is>
          <t>2027-01-19 前后</t>
        </is>
      </c>
      <c r="B18" s="11" t="inlineStr">
        <is>
          <t>网上报名开始</t>
        </is>
      </c>
      <c r="C18" s="11" t="n"/>
      <c r="D18" s="11" t="inlineStr">
        <is>
          <t>安徽省人事考试网。避开首日与截止日，预留资格初审不通过的改报时间</t>
        </is>
      </c>
      <c r="E18" s="11" t="n"/>
      <c r="F18" s="11" t="n"/>
      <c r="G18" s="11" t="n"/>
    </row>
    <row r="19" ht="32" customHeight="1">
      <c r="A19" s="8" t="inlineStr">
        <is>
          <t>2027-01-25 前后</t>
        </is>
      </c>
      <c r="B19" s="11" t="inlineStr">
        <is>
          <t>报名截止</t>
        </is>
      </c>
      <c r="C19" s="11" t="n"/>
      <c r="D19" s="11" t="inlineStr">
        <is>
          <t>一经通过审查不可改报，提交前核对专业名称与代码</t>
        </is>
      </c>
      <c r="E19" s="11" t="n"/>
      <c r="F19" s="11" t="n"/>
      <c r="G19" s="11" t="n"/>
    </row>
    <row r="20" ht="32" customHeight="1">
      <c r="A20" s="8" t="inlineStr">
        <is>
          <t>2027-01-29 前后</t>
        </is>
      </c>
      <c r="B20" s="11" t="inlineStr">
        <is>
          <t>缴费截止</t>
        </is>
      </c>
      <c r="C20" s="11" t="n"/>
      <c r="D20" s="11" t="inlineStr">
        <is>
          <t>未缴费视为放弃，缴费人数才是真实竞争分母</t>
        </is>
      </c>
      <c r="E20" s="11" t="n"/>
      <c r="F20" s="11" t="n"/>
      <c r="G20" s="11" t="n"/>
    </row>
    <row r="21" ht="32" customHeight="1">
      <c r="A21" s="8" t="inlineStr">
        <is>
          <t>2027-03-05 前后</t>
        </is>
      </c>
      <c r="B21" s="11" t="inlineStr">
        <is>
          <t>打印准考证</t>
        </is>
      </c>
      <c r="C21" s="11" t="n"/>
      <c r="D21" s="11" t="inlineStr">
        <is>
          <t>多打两份留存；提前查考点位置与交通，异地考生先订住宿</t>
        </is>
      </c>
      <c r="E21" s="11" t="n"/>
      <c r="F21" s="11" t="n"/>
      <c r="G21" s="11" t="n"/>
    </row>
    <row r="22" ht="32" customHeight="1">
      <c r="A22" s="8" t="inlineStr">
        <is>
          <t>2027-03-13</t>
        </is>
      </c>
      <c r="B22" s="11" t="inlineStr">
        <is>
          <t>公共科目笔试</t>
        </is>
      </c>
      <c r="C22" s="11" t="n"/>
      <c r="D22" s="11" t="inlineStr">
        <is>
          <t>9:00-11:00 行测（125题）；14:00-16:30 申论B卷（4题，含40分作文）</t>
        </is>
      </c>
      <c r="E22" s="11" t="n"/>
      <c r="F22" s="11" t="n"/>
      <c r="G22" s="11" t="n"/>
    </row>
    <row r="23" ht="32" customHeight="1">
      <c r="A23" s="8" t="inlineStr">
        <is>
          <t>2027-04-10 前后</t>
        </is>
      </c>
      <c r="B23" s="11" t="inlineStr">
        <is>
          <t>成绩与合格线公布</t>
        </is>
      </c>
      <c r="C23" s="11" t="n"/>
      <c r="D23" s="11" t="inlineStr">
        <is>
          <t>安庆先锋网。进面后立即转面试，笔试:面试=6:4，笔试领先即优势</t>
        </is>
      </c>
      <c r="E23" s="11" t="n"/>
      <c r="F23" s="11" t="n"/>
      <c r="G23" s="11" t="n"/>
    </row>
    <row r="25" ht="24" customHeight="1">
      <c r="A25" s="6" t="inlineStr">
        <is>
          <t>三、进度追踪（随周计划状态自动更新）</t>
        </is>
      </c>
    </row>
    <row r="26" ht="28" customHeight="1">
      <c r="A26" s="7" t="inlineStr">
        <is>
          <t>指标</t>
        </is>
      </c>
      <c r="B26" s="7" t="inlineStr">
        <is>
          <t>数值</t>
        </is>
      </c>
      <c r="C26" s="14" t="n"/>
      <c r="D26" s="7" t="inlineStr"/>
      <c r="E26" s="7" t="inlineStr"/>
      <c r="F26" s="7" t="inlineStr"/>
      <c r="G26" s="7" t="inlineStr"/>
    </row>
    <row r="27" ht="26" customHeight="1">
      <c r="A27" s="8" t="inlineStr">
        <is>
          <t>已完成周数</t>
        </is>
      </c>
      <c r="B27" s="16">
        <f>COUNTIF(周计划!$I$4:$I$23,"已完成")</f>
        <v>0.0</v>
      </c>
      <c r="C27" s="11" t="n"/>
      <c r="D27" s="11" t="n"/>
      <c r="E27" s="11" t="n"/>
      <c r="F27" s="11" t="n"/>
      <c r="G27" s="11" t="n"/>
    </row>
    <row r="28" ht="26" customHeight="1">
      <c r="A28" s="8" t="inlineStr">
        <is>
          <t>平均完成度</t>
        </is>
      </c>
      <c r="B28" s="10" t="str">
        <f>IFERROR(AVERAGE(周计划!$J$4:$J$23),"")</f>
        <v/>
      </c>
      <c r="C28" s="11" t="n"/>
      <c r="D28" s="11" t="n"/>
      <c r="E28" s="11" t="n"/>
      <c r="F28" s="11" t="n"/>
      <c r="G28" s="11" t="n"/>
    </row>
    <row r="29" ht="26" customHeight="1">
      <c r="A29" s="8" t="inlineStr">
        <is>
          <t>累计投入学时</t>
        </is>
      </c>
      <c r="B29" s="16">
        <f>SUMIF(周计划!$I$4:$I$23,"已完成",周计划!$G$4:$G$23)</f>
        <v>0.0</v>
      </c>
      <c r="C29" s="11" t="n"/>
      <c r="D29" s="11" t="n"/>
      <c r="E29" s="11" t="n"/>
      <c r="F29" s="11" t="n"/>
      <c r="G29" s="11" t="n"/>
    </row>
    <row r="30" ht="26" customHeight="1">
      <c r="A30" s="8" t="inlineStr">
        <is>
          <t>剩余周数</t>
        </is>
      </c>
      <c r="B30" s="16">
        <f>20-B27</f>
        <v>20.0</v>
      </c>
      <c r="C30" s="11" t="n"/>
      <c r="D30" s="11" t="n"/>
      <c r="E30" s="11" t="n"/>
      <c r="F30" s="11" t="n"/>
      <c r="G30" s="11" t="n"/>
    </row>
    <row r="32" ht="24" customHeight="1">
      <c r="A32" s="6" t="inlineStr">
        <is>
          <t>四、核心策略（决定成败的五条）</t>
        </is>
      </c>
    </row>
    <row r="33" ht="30" customHeight="1">
      <c r="A33" s="8" t="inlineStr">
        <is>
          <t>1</t>
        </is>
      </c>
      <c r="B33" s="11" t="inlineStr">
        <is>
          <t>资料分析打头阵</t>
        </is>
      </c>
      <c r="C33" s="11" t="n"/>
      <c r="D33" s="11" t="inlineStr">
        <is>
          <t>20题、提分最快、正确率可练到90%，是整个行测的分数发动机，投入25%的复习时间</t>
        </is>
      </c>
      <c r="E33" s="11" t="n"/>
      <c r="F33" s="11" t="n"/>
      <c r="G33" s="11" t="n"/>
    </row>
    <row r="34" ht="30" customHeight="1">
      <c r="A34" s="8" t="inlineStr">
        <is>
          <t>2</t>
        </is>
      </c>
      <c r="B34" s="11" t="inlineStr">
        <is>
          <t>申论作文不能裸考</t>
        </is>
      </c>
      <c r="C34" s="11" t="n"/>
      <c r="D34" s="11" t="inlineStr">
        <is>
          <t>B卷作文占40分，是单题最高分值。只背模板必低分，必须动手写并批改</t>
        </is>
      </c>
      <c r="E34" s="11" t="n"/>
      <c r="F34" s="11" t="n"/>
      <c r="G34" s="11" t="n"/>
    </row>
    <row r="35" ht="30" customHeight="1">
      <c r="A35" s="8" t="inlineStr">
        <is>
          <t>3</t>
        </is>
      </c>
      <c r="B35" s="11" t="inlineStr">
        <is>
          <t>政治理论是从0到1的增量</t>
        </is>
      </c>
      <c r="C35" s="11" t="n"/>
      <c r="D35" s="11" t="inlineStr">
        <is>
          <t>2025年新增模块15题，多数考生没系统准备，是最好拿的差异化分数</t>
        </is>
      </c>
      <c r="E35" s="11" t="n"/>
      <c r="F35" s="11" t="n"/>
      <c r="G35" s="11" t="n"/>
    </row>
    <row r="36" ht="30" customHeight="1">
      <c r="A36" s="8" t="inlineStr">
        <is>
          <t>4</t>
        </is>
      </c>
      <c r="B36" s="11" t="inlineStr">
        <is>
          <t>数量关系只保基础题</t>
        </is>
      </c>
      <c r="C36" s="11" t="n"/>
      <c r="D36" s="11" t="inlineStr">
        <is>
          <t>15题里拿下6-8题即可，难题战略性放弃，把时间让给资料和判断</t>
        </is>
      </c>
      <c r="E36" s="11" t="n"/>
      <c r="F36" s="11" t="n"/>
      <c r="G36" s="11" t="n"/>
    </row>
    <row r="37" ht="30" customHeight="1">
      <c r="A37" s="8" t="inlineStr">
        <is>
          <t>5</t>
        </is>
      </c>
      <c r="B37" s="11" t="inlineStr">
        <is>
          <t>在职备考要敢做减法</t>
        </is>
      </c>
      <c r="C37" s="11" t="n"/>
      <c r="D37" s="11" t="inlineStr">
        <is>
          <t>4.5个月偏紧，砍掉常识系统复习，只保留高频法律与科技时政</t>
        </is>
      </c>
      <c r="E37" s="11" t="n"/>
      <c r="F37" s="11" t="n"/>
      <c r="G37" s="11" t="n"/>
    </row>
  </sheetData>
  <mergeCells count="37">
    <mergeCell ref="A32:G32"/>
    <mergeCell ref="D18:G18"/>
    <mergeCell ref="B16:C16"/>
    <mergeCell ref="B22:C22"/>
    <mergeCell ref="D33:G33"/>
    <mergeCell ref="B18:C18"/>
    <mergeCell ref="B27:C27"/>
    <mergeCell ref="D23:G23"/>
    <mergeCell ref="B21:C21"/>
    <mergeCell ref="D35:G35"/>
    <mergeCell ref="D20:G20"/>
    <mergeCell ref="B23:C23"/>
    <mergeCell ref="A15:G15"/>
    <mergeCell ref="D19:G19"/>
    <mergeCell ref="B17:C17"/>
    <mergeCell ref="D34:G34"/>
    <mergeCell ref="D22:G22"/>
    <mergeCell ref="A1:G1"/>
    <mergeCell ref="B29:C29"/>
    <mergeCell ref="D36:G36"/>
    <mergeCell ref="B19:C19"/>
    <mergeCell ref="B34:C34"/>
    <mergeCell ref="B37:C37"/>
    <mergeCell ref="B28:C28"/>
    <mergeCell ref="D21:G21"/>
    <mergeCell ref="A7:G7"/>
    <mergeCell ref="A25:G25"/>
    <mergeCell ref="B30:C30"/>
    <mergeCell ref="D17:G17"/>
    <mergeCell ref="B33:C33"/>
    <mergeCell ref="B20:C20"/>
    <mergeCell ref="D16:G16"/>
    <mergeCell ref="B36:C36"/>
    <mergeCell ref="A2:G2"/>
    <mergeCell ref="B26:C26"/>
    <mergeCell ref="D37:G37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3" customWidth="1" min="2" max="2"/>
    <col width="10" customWidth="1" min="3" max="3"/>
    <col width="44" customWidth="1" min="4" max="4"/>
    <col width="44" customWidth="1" min="5" max="5"/>
    <col width="34" customWidth="1" min="6" max="6"/>
    <col width="11" customWidth="1" min="7" max="7"/>
    <col width="11" customWidth="1" min="8" max="8"/>
    <col width="11" customWidth="1" min="9" max="9"/>
    <col width="10" customWidth="1" min="10" max="10"/>
    <col width="22" customWidth="1" min="11" max="11"/>
  </cols>
  <sheetData>
    <row r="1" ht="34" customHeight="1">
      <c r="A1" s="1" t="inlineStr">
        <is>
          <t>20 周执行计划表</t>
        </is>
      </c>
    </row>
    <row r="2" ht="22" customHeight="1">
      <c r="A2" s="2" t="inlineStr">
        <is>
          <t>状态与完成度自行填写；学时 G 列为在职口径，H 列为全职口径（约 2.3 倍）</t>
        </is>
      </c>
    </row>
    <row r="3" ht="28" customHeight="1">
      <c r="A3" s="7" t="inlineStr">
        <is>
          <t>周次</t>
        </is>
      </c>
      <c r="B3" s="7" t="inlineStr">
        <is>
          <t>起止日期</t>
        </is>
      </c>
      <c r="C3" s="7" t="inlineStr">
        <is>
          <t>阶段</t>
        </is>
      </c>
      <c r="D3" s="7" t="inlineStr">
        <is>
          <t>行测重点</t>
        </is>
      </c>
      <c r="E3" s="7" t="inlineStr">
        <is>
          <t>申论重点</t>
        </is>
      </c>
      <c r="F3" s="7" t="inlineStr">
        <is>
          <t>本周目标</t>
        </is>
      </c>
      <c r="G3" s="7" t="inlineStr">
        <is>
          <t>学时(在职)</t>
        </is>
      </c>
      <c r="H3" s="7" t="inlineStr">
        <is>
          <t>学时(全职)</t>
        </is>
      </c>
      <c r="I3" s="7" t="inlineStr">
        <is>
          <t>状态</t>
        </is>
      </c>
      <c r="J3" s="7" t="inlineStr">
        <is>
          <t>完成度</t>
        </is>
      </c>
      <c r="K3" s="7" t="inlineStr">
        <is>
          <t>备注</t>
        </is>
      </c>
    </row>
    <row r="4" ht="56" customHeight="1">
      <c r="A4" s="8" t="inlineStr">
        <is>
          <t>W1</t>
        </is>
      </c>
      <c r="B4" s="8" t="inlineStr">
        <is>
          <t>2026-10-27 ~ 11-01</t>
        </is>
      </c>
      <c r="C4" s="8" t="inlineStr">
        <is>
          <t>基础</t>
        </is>
      </c>
      <c r="D4" s="11" t="inlineStr">
        <is>
          <t>考情分析：拆解125题结构与分值；资料分析公式体系（增长率、增长量、比重、平均数）</t>
        </is>
      </c>
      <c r="E4" s="11" t="inlineStr">
        <is>
          <t>裸做1套安徽B卷真题摸底，只找感觉不计分</t>
        </is>
      </c>
      <c r="F4" s="11" t="inlineStr">
        <is>
          <t>摸清底牌，建立错题本与素材本</t>
        </is>
      </c>
      <c r="G4" s="8" t="n">
        <v>12</v>
      </c>
      <c r="H4" s="8" t="n">
        <v>28</v>
      </c>
      <c r="I4" s="8" t="inlineStr">
        <is>
          <t>首周从周二起算，先跑通节奏</t>
        </is>
      </c>
      <c r="J4" s="17" t="n"/>
    </row>
    <row r="5" ht="56" customHeight="1">
      <c r="A5" s="8" t="inlineStr">
        <is>
          <t>W2</t>
        </is>
      </c>
      <c r="B5" s="8" t="inlineStr">
        <is>
          <t>11-02 ~ 11-08</t>
        </is>
      </c>
      <c r="C5" s="8" t="inlineStr">
        <is>
          <t>基础</t>
        </is>
      </c>
      <c r="D5" s="11" t="inlineStr">
        <is>
          <t>资料分析速算：截位直除、分数比较；每天4篇共20题</t>
        </is>
      </c>
      <c r="E5" s="11" t="inlineStr">
        <is>
          <t>归纳概括专项：找点全面、分类合理、字数控制</t>
        </is>
      </c>
      <c r="F5" s="11" t="inlineStr">
        <is>
          <t>资料分析正确率≥70%，单篇≤4分钟</t>
        </is>
      </c>
      <c r="G5" s="8" t="n">
        <v>22</v>
      </c>
      <c r="H5" s="8" t="n">
        <v>51</v>
      </c>
      <c r="I5" s="8" t="inlineStr">
        <is>
          <t>资料分析是主战场，宁慢勿错</t>
        </is>
      </c>
      <c r="J5" s="17" t="n"/>
    </row>
    <row r="6" ht="56" customHeight="1">
      <c r="A6" s="8" t="inlineStr">
        <is>
          <t>W3</t>
        </is>
      </c>
      <c r="B6" s="8" t="inlineStr">
        <is>
          <t>11-09 ~ 11-15</t>
        </is>
      </c>
      <c r="C6" s="8" t="inlineStr">
        <is>
          <t>基础</t>
        </is>
      </c>
      <c r="D6" s="11" t="inlineStr">
        <is>
          <t>判断推理·图形推理：对称、曲直、笔画、点线面、位置规律</t>
        </is>
      </c>
      <c r="E6" s="11" t="inlineStr">
        <is>
          <t>归纳概括2篇＋逐题复盘（对照参考答案找漏点）</t>
        </is>
      </c>
      <c r="F6" s="11" t="inlineStr">
        <is>
          <t>图形推理正确率≥70%</t>
        </is>
      </c>
      <c r="G6" s="8" t="n">
        <v>22</v>
      </c>
      <c r="H6" s="8" t="n">
        <v>51</v>
      </c>
      <c r="I6" s="8" t="inlineStr">
        <is>
          <t>图形推理练到看图就有反应</t>
        </is>
      </c>
      <c r="J6" s="17" t="n"/>
    </row>
    <row r="7" ht="56" customHeight="1">
      <c r="A7" s="8" t="inlineStr">
        <is>
          <t>W4</t>
        </is>
      </c>
      <c r="B7" s="8" t="inlineStr">
        <is>
          <t>11-16 ~ 11-22</t>
        </is>
      </c>
      <c r="C7" s="8" t="inlineStr">
        <is>
          <t>基础</t>
        </is>
      </c>
      <c r="D7" s="11" t="inlineStr">
        <is>
          <t>判断推理·定义判断（主体+客体+要件）＋类比推理</t>
        </is>
      </c>
      <c r="E7" s="11" t="inlineStr">
        <is>
          <t>综合分析与对策专项：问题—原因—对策三段逻辑</t>
        </is>
      </c>
      <c r="F7" s="11" t="inlineStr">
        <is>
          <t>定义≥80%，类比≥75%</t>
        </is>
      </c>
      <c r="G7" s="8" t="n">
        <v>22</v>
      </c>
      <c r="H7" s="8" t="n">
        <v>51</v>
      </c>
      <c r="I7" s="8" t="inlineStr">
        <is>
          <t>定义判断学会切分要件</t>
        </is>
      </c>
      <c r="J7" s="17" t="n"/>
    </row>
    <row r="8" ht="56" customHeight="1">
      <c r="A8" s="8" t="inlineStr">
        <is>
          <t>W5</t>
        </is>
      </c>
      <c r="B8" s="8" t="inlineStr">
        <is>
          <t>11-23 ~ 11-29</t>
        </is>
      </c>
      <c r="C8" s="8" t="inlineStr">
        <is>
          <t>基础</t>
        </is>
      </c>
      <c r="D8" s="11" t="inlineStr">
        <is>
          <t>判断推理·逻辑判断：翻译推理、真假推理、加强削弱（占70%）</t>
        </is>
      </c>
      <c r="E8" s="11" t="inlineStr">
        <is>
          <t>对策题2篇，重点练“谁来做+怎么做”的具体化</t>
        </is>
      </c>
      <c r="F8" s="11" t="inlineStr">
        <is>
          <t>逻辑判断正确率≥70%</t>
        </is>
      </c>
      <c r="G8" s="8" t="n">
        <v>22</v>
      </c>
      <c r="H8" s="8" t="n">
        <v>51</v>
      </c>
      <c r="I8" s="8" t="inlineStr">
        <is>
          <t>理工背景优势区，可加速</t>
        </is>
      </c>
      <c r="J8" s="17" t="n"/>
    </row>
    <row r="9" ht="56" customHeight="1">
      <c r="A9" s="8" t="inlineStr">
        <is>
          <t>W6</t>
        </is>
      </c>
      <c r="B9" s="8" t="inlineStr">
        <is>
          <t>11-30 ~ 12-06</t>
        </is>
      </c>
      <c r="C9" s="8" t="inlineStr">
        <is>
          <t>基础</t>
        </is>
      </c>
      <c r="D9" s="11" t="inlineStr">
        <is>
          <t>言语理解：逻辑填空（实词/成语辨析）＋片段阅读（主旨、意图）</t>
        </is>
      </c>
      <c r="E9" s="11" t="inlineStr">
        <is>
          <t>应用文写作：发言提纲、简报、倡议书的格式与身份感</t>
        </is>
      </c>
      <c r="F9" s="11" t="inlineStr">
        <is>
          <t>言语≥70%；完成基础阶段自测</t>
        </is>
      </c>
      <c r="G9" s="8" t="n">
        <v>24</v>
      </c>
      <c r="H9" s="8" t="n">
        <v>53</v>
      </c>
      <c r="I9" s="8" t="inlineStr">
        <is>
          <t>基础阶段收官，做1次全模块自测</t>
        </is>
      </c>
      <c r="J9" s="17" t="n"/>
    </row>
    <row r="10" ht="56" customHeight="1">
      <c r="A10" s="8" t="inlineStr">
        <is>
          <t>W7</t>
        </is>
      </c>
      <c r="B10" s="8" t="inlineStr">
        <is>
          <t>12-07 ~ 12-13</t>
        </is>
      </c>
      <c r="C10" s="8" t="inlineStr">
        <is>
          <t>强化</t>
        </is>
      </c>
      <c r="D10" s="11" t="inlineStr">
        <is>
          <t>政治理论：习近平新时代中国特色社会主义思想＋马原基础＋2026年时政梳理</t>
        </is>
      </c>
      <c r="E10" s="11" t="inlineStr">
        <is>
          <t>应用文2篇（发言提纲、工作简报），严格卡字数</t>
        </is>
      </c>
      <c r="F10" s="11" t="inlineStr">
        <is>
          <t>政治理论正确率≥65%</t>
        </is>
      </c>
      <c r="G10" s="8" t="n">
        <v>24</v>
      </c>
      <c r="H10" s="8" t="n">
        <v>53</v>
      </c>
      <c r="I10" s="8" t="inlineStr">
        <is>
          <t>新增模块，多数人没准备，性价比高</t>
        </is>
      </c>
      <c r="J10" s="17" t="n"/>
    </row>
    <row r="11" ht="56" customHeight="1">
      <c r="A11" s="8" t="inlineStr">
        <is>
          <t>W8</t>
        </is>
      </c>
      <c r="B11" s="8" t="inlineStr">
        <is>
          <t>12-14 ~ 12-20</t>
        </is>
      </c>
      <c r="C11" s="8" t="inlineStr">
        <is>
          <t>强化</t>
        </is>
      </c>
      <c r="D11" s="11" t="inlineStr">
        <is>
          <t>数量关系：几何（年均5题）、工程、利润、排列组合与概率基础题</t>
        </is>
      </c>
      <c r="E11" s="11" t="inlineStr">
        <is>
          <t>文章写作：立意训练＋五段式结构搭建</t>
        </is>
      </c>
      <c r="F11" s="11" t="inlineStr">
        <is>
          <t>数量能稳定拿下6-8题</t>
        </is>
      </c>
      <c r="G11" s="8" t="n">
        <v>24</v>
      </c>
      <c r="H11" s="8" t="n">
        <v>53</v>
      </c>
      <c r="I11" s="8" t="inlineStr">
        <is>
          <t>难题果断放弃，只保基础题型</t>
        </is>
      </c>
      <c r="J11" s="17" t="n"/>
    </row>
    <row r="12" ht="56" customHeight="1">
      <c r="A12" s="8" t="inlineStr">
        <is>
          <t>W9</t>
        </is>
      </c>
      <c r="B12" s="8" t="inlineStr">
        <is>
          <t>12-21 ~ 12-27</t>
        </is>
      </c>
      <c r="C12" s="8" t="inlineStr">
        <is>
          <t>强化</t>
        </is>
      </c>
      <c r="D12" s="11" t="inlineStr">
        <is>
          <t>常识判断：宪法/民法典/行政法高频点＋科技前沿＋安徽本土文史</t>
        </is>
      </c>
      <c r="E12" s="11" t="inlineStr">
        <is>
          <t>大作文1篇精写＋逐段批改（重点改结构与论据）</t>
        </is>
      </c>
      <c r="F12" s="11" t="inlineStr">
        <is>
          <t>常识正确率≥55%</t>
        </is>
      </c>
      <c r="G12" s="8" t="n">
        <v>24</v>
      </c>
      <c r="H12" s="8" t="n">
        <v>53</v>
      </c>
      <c r="I12" s="8" t="inlineStr">
        <is>
          <t>常识不追求全覆盖，只抓高频</t>
        </is>
      </c>
      <c r="J12" s="17" t="n"/>
    </row>
    <row r="13" ht="56" customHeight="1">
      <c r="A13" s="8" t="inlineStr">
        <is>
          <t>W10</t>
        </is>
      </c>
      <c r="B13" s="8" t="inlineStr">
        <is>
          <t>12-28 ~ 01-03</t>
        </is>
      </c>
      <c r="C13" s="8" t="inlineStr">
        <is>
          <t>强化</t>
        </is>
      </c>
      <c r="D13" s="11" t="inlineStr">
        <is>
          <t>资料分析提速：25分钟内完成20题；判断推理整套限时</t>
        </is>
      </c>
      <c r="E13" s="11" t="inlineStr">
        <is>
          <t>B卷真题1套（限时150分钟）</t>
        </is>
      </c>
      <c r="F13" s="11" t="inlineStr">
        <is>
          <t>资料≥85%，形成模块节奏</t>
        </is>
      </c>
      <c r="G13" s="8" t="n">
        <v>26</v>
      </c>
      <c r="H13" s="8" t="n">
        <v>56</v>
      </c>
      <c r="I13" s="8" t="inlineStr">
        <is>
          <t>跨元旦，保底完成两项即可</t>
        </is>
      </c>
      <c r="J13" s="17" t="n"/>
    </row>
    <row r="14" ht="56" customHeight="1">
      <c r="A14" s="8" t="inlineStr">
        <is>
          <t>W11</t>
        </is>
      </c>
      <c r="B14" s="8" t="inlineStr">
        <is>
          <t>01-04 ~ 01-10</t>
        </is>
      </c>
      <c r="C14" s="8" t="inlineStr">
        <is>
          <t>强化</t>
        </is>
      </c>
      <c r="D14" s="11" t="inlineStr">
        <is>
          <t>言语＋判断混合套题，每日1个模块限时；错题归因</t>
        </is>
      </c>
      <c r="E14" s="11" t="inlineStr">
        <is>
          <t>真题批改＋素材库搭建（基层治理/乡村振兴/县域经济）</t>
        </is>
      </c>
      <c r="F14" s="11" t="inlineStr">
        <is>
          <t>弱项专项补齐，消除明显短板</t>
        </is>
      </c>
      <c r="G14" s="8" t="n">
        <v>26</v>
      </c>
      <c r="H14" s="8" t="n">
        <v>56</v>
      </c>
      <c r="I14" s="8" t="inlineStr">
        <is>
          <t>素材库按主题分类，写作时直接调用</t>
        </is>
      </c>
      <c r="J14" s="17" t="n"/>
    </row>
    <row r="15" ht="56" customHeight="1">
      <c r="A15" s="8" t="inlineStr">
        <is>
          <t>W12</t>
        </is>
      </c>
      <c r="B15" s="8" t="inlineStr">
        <is>
          <t>01-11 ~ 01-17</t>
        </is>
      </c>
      <c r="C15" s="8" t="inlineStr">
        <is>
          <t>强化</t>
        </is>
      </c>
      <c r="D15" s="11" t="inlineStr">
        <is>
          <t>行测全模块套题2套（限时110分钟，留10分钟涂卡）</t>
        </is>
      </c>
      <c r="E15" s="11" t="inlineStr">
        <is>
          <t>应用文＋作文各1篇</t>
        </is>
      </c>
      <c r="F15" s="11" t="inlineStr">
        <is>
          <t>行测稳定65+</t>
        </is>
      </c>
      <c r="G15" s="8" t="n">
        <v>26</v>
      </c>
      <c r="H15" s="8" t="n">
        <v>56</v>
      </c>
      <c r="I15" s="8" t="inlineStr">
        <is>
          <t>强化阶段收官，锁定强弱项</t>
        </is>
      </c>
      <c r="J15" s="17" t="n"/>
    </row>
    <row r="16" ht="56" customHeight="1">
      <c r="A16" s="8" t="inlineStr">
        <is>
          <t>W13</t>
        </is>
      </c>
      <c r="B16" s="8" t="inlineStr">
        <is>
          <t>01-18 ~ 01-24</t>
        </is>
      </c>
      <c r="C16" s="8" t="inlineStr">
        <is>
          <t>真题</t>
        </is>
      </c>
      <c r="D16" s="11" t="inlineStr">
        <is>
          <t>安徽近3年真题第1套（2026年卷），严格按考试时段做</t>
        </is>
      </c>
      <c r="E16" s="11" t="inlineStr">
        <is>
          <t>同期B卷真题第1套，限时150分钟</t>
        </is>
      </c>
      <c r="F16" s="11" t="inlineStr">
        <is>
          <t>完成报名选岗；真题1套并逐题归因</t>
        </is>
      </c>
      <c r="G16" s="8" t="n">
        <v>26</v>
      </c>
      <c r="H16" s="8" t="n">
        <v>56</v>
      </c>
      <c r="I16" s="8" t="inlineStr">
        <is>
          <t>★报名周：公告出来后先选岗再学习</t>
        </is>
      </c>
      <c r="J16" s="17" t="n"/>
    </row>
    <row r="17" ht="56" customHeight="1">
      <c r="A17" s="8" t="inlineStr">
        <is>
          <t>W14</t>
        </is>
      </c>
      <c r="B17" s="8" t="inlineStr">
        <is>
          <t>01-25 ~ 01-31</t>
        </is>
      </c>
      <c r="C17" s="8" t="inlineStr">
        <is>
          <t>真题</t>
        </is>
      </c>
      <c r="D17" s="11" t="inlineStr">
        <is>
          <t>安徽真题第2套（2025年卷）＋错题重做</t>
        </is>
      </c>
      <c r="E17" s="11" t="inlineStr">
        <is>
          <t>真题第2套，重点复盘应用文格式</t>
        </is>
      </c>
      <c r="F17" s="11" t="inlineStr">
        <is>
          <t>真题累计2套，建立错题分类表</t>
        </is>
      </c>
      <c r="G17" s="8" t="n">
        <v>26</v>
      </c>
      <c r="H17" s="8" t="n">
        <v>56</v>
      </c>
      <c r="I17" s="8" t="inlineStr">
        <is>
          <t>错题按“知识盲区/方法错误/粗心”三类归档</t>
        </is>
      </c>
      <c r="J17" s="17" t="n"/>
    </row>
    <row r="18" ht="56" customHeight="1">
      <c r="A18" s="8" t="inlineStr">
        <is>
          <t>W15</t>
        </is>
      </c>
      <c r="B18" s="8" t="inlineStr">
        <is>
          <t>02-01 ~ 02-07</t>
        </is>
      </c>
      <c r="C18" s="8" t="inlineStr">
        <is>
          <t>真题</t>
        </is>
      </c>
      <c r="D18" s="11" t="inlineStr">
        <is>
          <t>安徽真题第3套（2024年卷）＋错题重做</t>
        </is>
      </c>
      <c r="E18" s="11" t="inlineStr">
        <is>
          <t>真题第3套；春节期间只做复盘不追新</t>
        </is>
      </c>
      <c r="F18" s="11" t="inlineStr">
        <is>
          <t>保持手感即可，允许降量</t>
        </is>
      </c>
      <c r="G18" s="8" t="n">
        <v>18</v>
      </c>
      <c r="H18" s="8" t="n">
        <v>40</v>
      </c>
      <c r="I18" s="8" t="inlineStr">
        <is>
          <t>★春节周：2/6除夕前后，弹性安排，别断更</t>
        </is>
      </c>
      <c r="J18" s="17" t="n"/>
    </row>
    <row r="19" ht="56" customHeight="1">
      <c r="A19" s="8" t="inlineStr">
        <is>
          <t>W16</t>
        </is>
      </c>
      <c r="B19" s="8" t="inlineStr">
        <is>
          <t>02-08 ~ 02-14</t>
        </is>
      </c>
      <c r="C19" s="8" t="inlineStr">
        <is>
          <t>真题</t>
        </is>
      </c>
      <c r="D19" s="11" t="inlineStr">
        <is>
          <t>联考省份真题2套（江苏/浙江/湖南），拓宽题型适应面</t>
        </is>
      </c>
      <c r="E19" s="11" t="inlineStr">
        <is>
          <t>外省同类卷1套，重点看材料主题差异</t>
        </is>
      </c>
      <c r="F19" s="11" t="inlineStr">
        <is>
          <t>适应不同命题风格</t>
        </is>
      </c>
      <c r="G19" s="8" t="n">
        <v>26</v>
      </c>
      <c r="H19" s="8" t="n">
        <v>56</v>
      </c>
      <c r="I19" s="8" t="inlineStr">
        <is>
          <t>外省卷只做不计分，练适应力</t>
        </is>
      </c>
      <c r="J19" s="17" t="n"/>
    </row>
    <row r="20" ht="56" customHeight="1">
      <c r="A20" s="8" t="inlineStr">
        <is>
          <t>W17</t>
        </is>
      </c>
      <c r="B20" s="8" t="inlineStr">
        <is>
          <t>02-15 ~ 02-21</t>
        </is>
      </c>
      <c r="C20" s="8" t="inlineStr">
        <is>
          <t>真题</t>
        </is>
      </c>
      <c r="D20" s="11" t="inlineStr">
        <is>
          <t>真题错题三刷＋高频考点回炉（资料、判断、言语）</t>
        </is>
      </c>
      <c r="E20" s="11" t="inlineStr">
        <is>
          <t>作文3篇限时60分钟/篇，固化开头结尾</t>
        </is>
      </c>
      <c r="F20" s="11" t="inlineStr">
        <is>
          <t>错题清零，真题阶段收官</t>
        </is>
      </c>
      <c r="G20" s="8" t="n">
        <v>28</v>
      </c>
      <c r="H20" s="8" t="n">
        <v>58</v>
      </c>
      <c r="I20" s="8" t="inlineStr">
        <is>
          <t>此周结束应能稳定68+</t>
        </is>
      </c>
      <c r="J20" s="17" t="n"/>
    </row>
    <row r="21" ht="56" customHeight="1">
      <c r="A21" s="8" t="inlineStr">
        <is>
          <t>W18</t>
        </is>
      </c>
      <c r="B21" s="8" t="inlineStr">
        <is>
          <t>02-22 ~ 02-28</t>
        </is>
      </c>
      <c r="C21" s="8" t="inlineStr">
        <is>
          <t>冲刺</t>
        </is>
      </c>
      <c r="D21" s="11" t="inlineStr">
        <is>
          <t>全真模考3次，严格9:00-11:00；固化答题顺序</t>
        </is>
      </c>
      <c r="E21" s="11" t="inlineStr">
        <is>
          <t>申论全真3次，14:00-16:30</t>
        </is>
      </c>
      <c r="F21" s="11" t="inlineStr">
        <is>
          <t>行测稳定68+，申论68+</t>
        </is>
      </c>
      <c r="G21" s="8" t="n">
        <v>30</v>
      </c>
      <c r="H21" s="8" t="n">
        <v>60</v>
      </c>
      <c r="I21" s="8" t="inlineStr">
        <is>
          <t>模考必须卡真实时段，练生物钟</t>
        </is>
      </c>
      <c r="J21" s="17" t="n"/>
    </row>
    <row r="22" ht="56" customHeight="1">
      <c r="A22" s="8" t="inlineStr">
        <is>
          <t>W19</t>
        </is>
      </c>
      <c r="B22" s="8" t="inlineStr">
        <is>
          <t>03-01 ~ 03-07</t>
        </is>
      </c>
      <c r="C22" s="8" t="inlineStr">
        <is>
          <t>冲刺</t>
        </is>
      </c>
      <c r="D22" s="11" t="inlineStr">
        <is>
          <t>模考2次＋政治理论与时政最后冲刺（2026.10-2027.2）</t>
        </is>
      </c>
      <c r="E22" s="11" t="inlineStr">
        <is>
          <t>作文模板固化＋热点预测（基层治理、县域经济）</t>
        </is>
      </c>
      <c r="F22" s="11" t="inlineStr">
        <is>
          <t>分数稳定；打印准考证、踩点考场</t>
        </is>
      </c>
      <c r="G22" s="8" t="n">
        <v>30</v>
      </c>
      <c r="H22" s="8" t="n">
        <v>60</v>
      </c>
      <c r="I22" s="8" t="inlineStr">
        <is>
          <t>★打印准考证；提前订住宿</t>
        </is>
      </c>
      <c r="J22" s="17" t="n"/>
    </row>
    <row r="23" ht="56" customHeight="1">
      <c r="A23" s="8" t="inlineStr">
        <is>
          <t>W20</t>
        </is>
      </c>
      <c r="B23" s="8" t="inlineStr">
        <is>
          <t>03-08 ~ 03-13</t>
        </is>
      </c>
      <c r="C23" s="8" t="inlineStr">
        <is>
          <t>冲刺</t>
        </is>
      </c>
      <c r="D23" s="11" t="inlineStr">
        <is>
          <t>模考1次＋错题本通读一遍，不再做新题</t>
        </is>
      </c>
      <c r="E23" s="11" t="inlineStr">
        <is>
          <t>只看不写，回顾素材本与范文结构</t>
        </is>
      </c>
      <c r="F23" s="11" t="inlineStr">
        <is>
          <t>3/13 考试；考前两天降强度、调作息</t>
        </is>
      </c>
      <c r="G23" s="8" t="n">
        <v>15</v>
      </c>
      <c r="H23" s="8" t="n">
        <v>34</v>
      </c>
      <c r="I23" s="8" t="inlineStr">
        <is>
          <t>★考试周：睡眠优先，不做难题</t>
        </is>
      </c>
      <c r="J23" s="17" t="n"/>
    </row>
  </sheetData>
  <autoFilter ref="A3:K23"/>
  <mergeCells count="2">
    <mergeCell ref="A2:K2"/>
    <mergeCell ref="A1:K1"/>
  </mergeCells>
  <conditionalFormatting sqref="I4:I23">
    <cfRule type="cellIs" priority="1" operator="equal" dxfId="0">
      <formula>"已完成"</formula>
    </cfRule>
    <cfRule type="cellIs" priority="2" operator="equal" dxfId="1">
      <formula>"进行中"</formula>
    </cfRule>
    <cfRule type="cellIs" priority="3" operator="equal" dxfId="2">
      <formula>"延期"</formula>
    </cfRule>
  </conditionalFormatting>
  <dataValidations count="1">
    <dataValidation sqref="I4:I23" showDropDown="0" showInputMessage="0" showErrorMessage="0" allowBlank="1" error="请选择：未开始 / 进行中 / 已完成 / 延期" promptTitle="状态" prompt="从下拉列表选择本周状态" type="list">
      <formula1>"未开始,进行中,已完成,延期"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1" customWidth="1" min="3" max="3"/>
    <col width="11" customWidth="1" min="4" max="4"/>
    <col width="14" customWidth="1" min="5" max="5"/>
    <col width="12" customWidth="1" min="6" max="6"/>
    <col width="62" customWidth="1" min="7" max="7"/>
    <col width="10" customWidth="1" min="8" max="8"/>
  </cols>
  <sheetData>
    <row r="1" ht="34" customHeight="1">
      <c r="A1" s="1" t="inlineStr">
        <is>
          <t>行测模块分配（125 题 / 120 分钟 / 100 分）</t>
        </is>
      </c>
    </row>
    <row r="2" ht="22" customHeight="1">
      <c r="A2" s="2" t="inlineStr">
        <is>
          <t>2025 年起安徽行测由 110 题增至 125 题：新增政治理论 15 题，常识降为 15 题，资料分析增至 20 题</t>
        </is>
      </c>
    </row>
    <row r="3" ht="28" customHeight="1">
      <c r="A3" s="7" t="inlineStr">
        <is>
          <t>模块</t>
        </is>
      </c>
      <c r="B3" s="7" t="inlineStr">
        <is>
          <t>题量</t>
        </is>
      </c>
      <c r="C3" s="7" t="inlineStr">
        <is>
          <t>题量占比</t>
        </is>
      </c>
      <c r="D3" s="7" t="inlineStr">
        <is>
          <t>建议用时(分)</t>
        </is>
      </c>
      <c r="E3" s="7" t="inlineStr">
        <is>
          <t>备考时间占比</t>
        </is>
      </c>
      <c r="F3" s="7" t="inlineStr">
        <is>
          <t>目标正确率</t>
        </is>
      </c>
      <c r="G3" s="7" t="inlineStr">
        <is>
          <t>复习重点</t>
        </is>
      </c>
      <c r="H3" s="7" t="inlineStr">
        <is>
          <t>优先级</t>
        </is>
      </c>
    </row>
    <row r="4" ht="58" customHeight="1">
      <c r="A4" s="8" t="inlineStr">
        <is>
          <t>政治理论</t>
        </is>
      </c>
      <c r="B4" s="8" t="n">
        <v>15</v>
      </c>
      <c r="C4" s="18" t="n">
        <v>0.12</v>
      </c>
      <c r="D4" s="8" t="n">
        <v>10</v>
      </c>
      <c r="E4" s="10" t="n">
        <v>0.13</v>
      </c>
      <c r="F4" s="10" t="n">
        <v>0.7</v>
      </c>
      <c r="G4" s="11" t="inlineStr">
        <is>
          <t>习近平新时代中国特色社会主义思想、马原基础、2026年1-12月时政；安徽本土政策（长三角一体化、皖江城市带、大黄山）</t>
        </is>
      </c>
      <c r="H4" s="8" t="inlineStr">
        <is>
          <t>高</t>
        </is>
      </c>
    </row>
    <row r="5" ht="58" customHeight="1">
      <c r="A5" s="8" t="inlineStr">
        <is>
          <t>常识判断</t>
        </is>
      </c>
      <c r="B5" s="8" t="n">
        <v>15</v>
      </c>
      <c r="C5" s="18" t="n">
        <v>0.12</v>
      </c>
      <c r="D5" s="8" t="n">
        <v>8</v>
      </c>
      <c r="E5" s="10" t="n">
        <v>0.1</v>
      </c>
      <c r="F5" s="10" t="n">
        <v>0.55</v>
      </c>
      <c r="G5" s="11" t="inlineStr">
        <is>
          <t>宪法/民法典/行政法高频点、科技前沿、安徽文史；不求全覆盖，只抓高频与重大热点</t>
        </is>
      </c>
      <c r="H5" s="8" t="inlineStr">
        <is>
          <t>低</t>
        </is>
      </c>
    </row>
    <row r="6" ht="58" customHeight="1">
      <c r="A6" s="8" t="inlineStr">
        <is>
          <t>言语理解</t>
        </is>
      </c>
      <c r="B6" s="8" t="n">
        <v>25</v>
      </c>
      <c r="C6" s="18" t="n">
        <v>0.2</v>
      </c>
      <c r="D6" s="8" t="n">
        <v>30</v>
      </c>
      <c r="E6" s="10" t="n">
        <v>0.18</v>
      </c>
      <c r="F6" s="10" t="n">
        <v>0.75</v>
      </c>
      <c r="G6" s="11" t="inlineStr">
        <is>
          <t>逻辑填空（实词与成语辨析）、片段阅读（主旨概括、意图推断）；材料多选自《人民日报》，政治性题材占比上升</t>
        </is>
      </c>
      <c r="H6" s="8" t="inlineStr">
        <is>
          <t>高</t>
        </is>
      </c>
    </row>
    <row r="7" ht="58" customHeight="1">
      <c r="A7" s="8" t="inlineStr">
        <is>
          <t>数量关系</t>
        </is>
      </c>
      <c r="B7" s="8" t="n">
        <v>15</v>
      </c>
      <c r="C7" s="18" t="n">
        <v>0.12</v>
      </c>
      <c r="D7" s="8" t="n">
        <v>12</v>
      </c>
      <c r="E7" s="10" t="n">
        <v>0.12</v>
      </c>
      <c r="F7" s="10" t="n">
        <v>0.5</v>
      </c>
      <c r="G7" s="11" t="inlineStr">
        <is>
          <t>几何（年均5题，占近三分之一）、工程、利润、排列组合与概率；只保基础题型，难题战略性蒙答</t>
        </is>
      </c>
      <c r="H7" s="8" t="inlineStr">
        <is>
          <t>中</t>
        </is>
      </c>
    </row>
    <row r="8" ht="58" customHeight="1">
      <c r="A8" s="8" t="inlineStr">
        <is>
          <t>判断推理</t>
        </is>
      </c>
      <c r="B8" s="8" t="n">
        <v>35</v>
      </c>
      <c r="C8" s="18" t="n">
        <v>0.28</v>
      </c>
      <c r="D8" s="8" t="n">
        <v>35</v>
      </c>
      <c r="E8" s="10" t="n">
        <v>0.22</v>
      </c>
      <c r="F8" s="10" t="n">
        <v>0.8</v>
      </c>
      <c r="G8" s="11" t="inlineStr">
        <is>
          <t>图形推理5题（对称/曲直/笔画/点线面）、定义判断10题（主体+客体+要件）、类比推理10题、逻辑判断10题（加强削弱占70%）</t>
        </is>
      </c>
      <c r="H8" s="8" t="inlineStr">
        <is>
          <t>高</t>
        </is>
      </c>
    </row>
    <row r="9" ht="58" customHeight="1">
      <c r="A9" s="8" t="inlineStr">
        <is>
          <t>资料分析</t>
        </is>
      </c>
      <c r="B9" s="8" t="n">
        <v>20</v>
      </c>
      <c r="C9" s="18" t="n">
        <v>0.16</v>
      </c>
      <c r="D9" s="8" t="n">
        <v>25</v>
      </c>
      <c r="E9" s="10" t="n">
        <v>0.25</v>
      </c>
      <c r="F9" s="10" t="n">
        <v>0.9</v>
      </c>
      <c r="G9" s="11" t="inlineStr">
        <is>
          <t>增长率、增长量、比重、平均数、倍数；“两数之比”等新概念；核心技巧：截位直除、分数比较。4篇材料×5题</t>
        </is>
      </c>
      <c r="H9" s="8" t="inlineStr">
        <is>
          <t>最高</t>
        </is>
      </c>
    </row>
    <row r="10" ht="26" customHeight="1">
      <c r="A10" s="12" t="inlineStr">
        <is>
          <t>合计</t>
        </is>
      </c>
      <c r="B10" s="12">
        <f>SUM(B4:B9)</f>
        <v>125.0</v>
      </c>
      <c r="C10" s="19">
        <f>SUM(C4:C9)</f>
        <v>1.0</v>
      </c>
      <c r="D10" s="12">
        <f>SUM(D4:D9)</f>
        <v>120.0</v>
      </c>
      <c r="E10" s="20">
        <f>SUM(E4:E9)</f>
        <v>1.0</v>
      </c>
      <c r="F10" s="13" t="n"/>
      <c r="G10" s="13" t="inlineStr">
        <is>
          <t>资料分析＋判断推理占备考时间 47%，是分数主体</t>
        </is>
      </c>
      <c r="H10" s="13" t="n"/>
    </row>
    <row r="12" ht="24" customHeight="1">
      <c r="A12" s="6" t="inlineStr">
        <is>
          <t>分配逻辑说明</t>
        </is>
      </c>
    </row>
    <row r="13" ht="30" customHeight="1">
      <c r="A13" s="11" t="inlineStr">
        <is>
          <t>资料分析 16%题量 → 25%时间</t>
        </is>
      </c>
      <c r="B13" s="11" t="n"/>
      <c r="C13" s="11" t="n"/>
      <c r="D13" s="11" t="inlineStr">
        <is>
          <t>提分曲线最陡，20题可练到90%正确率，且每题1.1分，是全卷性价比最高的模块</t>
        </is>
      </c>
      <c r="E13" s="11" t="n"/>
      <c r="F13" s="11" t="n"/>
      <c r="G13" s="11" t="n"/>
      <c r="H13" s="11" t="n"/>
    </row>
    <row r="14" ht="30" customHeight="1">
      <c r="A14" s="11" t="inlineStr">
        <is>
          <t>判断推理 28%题量 → 22%时间</t>
        </is>
      </c>
      <c r="B14" s="11" t="n"/>
      <c r="C14" s="11" t="n"/>
      <c r="D14" s="11" t="inlineStr">
        <is>
          <t>题量最大但方法收敛快，图形与定义练熟后边际收益递减，不必超额投入</t>
        </is>
      </c>
      <c r="E14" s="11" t="n"/>
      <c r="F14" s="11" t="n"/>
      <c r="G14" s="11" t="n"/>
      <c r="H14" s="11" t="n"/>
    </row>
    <row r="15" ht="30" customHeight="1">
      <c r="A15" s="11" t="inlineStr">
        <is>
          <t>政治理论 12%题量 → 13%时间</t>
        </is>
      </c>
      <c r="B15" s="11" t="n"/>
      <c r="C15" s="11" t="n"/>
      <c r="D15" s="11" t="inlineStr">
        <is>
          <t>新增模块，多数考生裸考，系统准备即可形成差异化优势，时政部分必须跟进到考前</t>
        </is>
      </c>
      <c r="E15" s="11" t="n"/>
      <c r="F15" s="11" t="n"/>
      <c r="G15" s="11" t="n"/>
      <c r="H15" s="11" t="n"/>
    </row>
    <row r="16" ht="30" customHeight="1">
      <c r="A16" s="11" t="inlineStr">
        <is>
          <t>数量关系 12%题量 → 12%时间</t>
        </is>
      </c>
      <c r="B16" s="11" t="n"/>
      <c r="C16" s="11" t="n"/>
      <c r="D16" s="11" t="inlineStr">
        <is>
          <t>只需要拿基础题的6-8题，难题放弃。投入超过这个比例会挤压资料分析</t>
        </is>
      </c>
      <c r="E16" s="11" t="n"/>
      <c r="F16" s="11" t="n"/>
      <c r="G16" s="11" t="n"/>
      <c r="H16" s="11" t="n"/>
    </row>
    <row r="17" ht="30" customHeight="1">
      <c r="A17" s="11" t="inlineStr">
        <is>
          <t>常识判断 12%题量 → 10%时间</t>
        </is>
      </c>
      <c r="B17" s="11" t="n"/>
      <c r="C17" s="11" t="n"/>
      <c r="D17" s="11" t="inlineStr">
        <is>
          <t>边际收益最低，只做高频点与考前时政冲刺，不系统刷题</t>
        </is>
      </c>
      <c r="E17" s="11" t="n"/>
      <c r="F17" s="11" t="n"/>
      <c r="G17" s="11" t="n"/>
      <c r="H17" s="11" t="n"/>
    </row>
  </sheetData>
  <mergeCells count="13">
    <mergeCell ref="A12:H12"/>
    <mergeCell ref="A13:C13"/>
    <mergeCell ref="D15:H15"/>
    <mergeCell ref="D16:H16"/>
    <mergeCell ref="A2:H2"/>
    <mergeCell ref="A14:C14"/>
    <mergeCell ref="D13:H13"/>
    <mergeCell ref="A17:C17"/>
    <mergeCell ref="D14:H14"/>
    <mergeCell ref="A1:H1"/>
    <mergeCell ref="A15:C15"/>
    <mergeCell ref="A16:C16"/>
    <mergeCell ref="D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3" customWidth="1" min="3" max="3"/>
    <col width="14" customWidth="1" min="4" max="4"/>
    <col width="13" customWidth="1" min="5" max="5"/>
    <col width="56" customWidth="1" min="6" max="6"/>
    <col width="34" customWidth="1" min="7" max="7"/>
  </cols>
  <sheetData>
    <row r="1" ht="34" customHeight="1">
      <c r="A1" s="1" t="inlineStr">
        <is>
          <t>申论 B 卷模块分配（4 题 / 150 分钟 / 100 分）</t>
        </is>
      </c>
    </row>
    <row r="2" ht="22" customHeight="1">
      <c r="A2" s="2" t="inlineStr">
        <is>
          <t>县级机关考 B 卷。2026 年真题结构：概括 15 分 + 问题对策 20 分 + 发言提纲 25 分 + 文章写作 40 分</t>
        </is>
      </c>
    </row>
    <row r="3" ht="28" customHeight="1">
      <c r="A3" s="7" t="inlineStr">
        <is>
          <t>题型</t>
        </is>
      </c>
      <c r="B3" s="7" t="inlineStr">
        <is>
          <t>分值</t>
        </is>
      </c>
      <c r="C3" s="7" t="inlineStr">
        <is>
          <t>建议用时(分)</t>
        </is>
      </c>
      <c r="D3" s="7" t="inlineStr">
        <is>
          <t>备考时间占比</t>
        </is>
      </c>
      <c r="E3" s="7" t="inlineStr">
        <is>
          <t>目标得分</t>
        </is>
      </c>
      <c r="F3" s="7" t="inlineStr">
        <is>
          <t>复习重点</t>
        </is>
      </c>
      <c r="G3" s="7" t="inlineStr">
        <is>
          <t>常见失分点</t>
        </is>
      </c>
    </row>
    <row r="4" ht="58" customHeight="1">
      <c r="A4" s="8" t="inlineStr">
        <is>
          <t>归纳概括</t>
        </is>
      </c>
      <c r="B4" s="8" t="n">
        <v>15</v>
      </c>
      <c r="C4" s="8" t="n">
        <v>25</v>
      </c>
      <c r="D4" s="10" t="n">
        <v>0.2</v>
      </c>
      <c r="E4" s="8" t="inlineStr">
        <is>
          <t>11-12</t>
        </is>
      </c>
      <c r="F4" s="11" t="inlineStr">
        <is>
          <t>找点全面无遗漏、分类合理、字数控制在300字内；B卷第一题必考，是基础分</t>
        </is>
      </c>
      <c r="G4" s="11" t="inlineStr">
        <is>
          <t>要点遗漏、原文照抄不做概括</t>
        </is>
      </c>
    </row>
    <row r="5" ht="58" customHeight="1">
      <c r="A5" s="8" t="inlineStr">
        <is>
          <t>综合分析与对策</t>
        </is>
      </c>
      <c r="B5" s="8" t="n">
        <v>20</v>
      </c>
      <c r="C5" s="8" t="n">
        <v>30</v>
      </c>
      <c r="D5" s="10" t="n">
        <v>0.25</v>
      </c>
      <c r="E5" s="8" t="inlineStr">
        <is>
          <t>14-15</t>
        </is>
      </c>
      <c r="F5" s="11" t="inlineStr">
        <is>
          <t>问题—原因—对策三段逻辑；对策要具体到“谁来做、怎么做、做到什么程度”，紧扣基层实际</t>
        </is>
      </c>
      <c r="G5" s="11" t="inlineStr">
        <is>
          <t>对策空泛、与问题不对应</t>
        </is>
      </c>
    </row>
    <row r="6" ht="58" customHeight="1">
      <c r="A6" s="8" t="inlineStr">
        <is>
          <t>应用文写作</t>
        </is>
      </c>
      <c r="B6" s="8" t="n">
        <v>25</v>
      </c>
      <c r="C6" s="8" t="n">
        <v>35</v>
      </c>
      <c r="D6" s="10" t="n">
        <v>0.25</v>
      </c>
      <c r="E6" s="8" t="inlineStr">
        <is>
          <t>18-19</t>
        </is>
      </c>
      <c r="F6" s="11" t="inlineStr">
        <is>
          <t>发言提纲、工作简报、倡议书、短评；格式+身份+场景三要素，文种语气要匹配</t>
        </is>
      </c>
      <c r="G6" s="11" t="inlineStr">
        <is>
          <t>格式错误、语气不符发文身份</t>
        </is>
      </c>
    </row>
    <row r="7" ht="58" customHeight="1">
      <c r="A7" s="8" t="inlineStr">
        <is>
          <t>文章写作</t>
        </is>
      </c>
      <c r="B7" s="8" t="n">
        <v>40</v>
      </c>
      <c r="C7" s="8" t="n">
        <v>60</v>
      </c>
      <c r="D7" s="10" t="n">
        <v>0.3</v>
      </c>
      <c r="E7" s="8" t="inlineStr">
        <is>
          <t>26-28</t>
        </is>
      </c>
      <c r="F7" s="11" t="inlineStr">
        <is>
          <t>立意准确不跑题、五段式结构清晰、论据来自材料＋平时积累；800-1000字，观点与对策并重</t>
        </is>
      </c>
      <c r="G7" s="11" t="inlineStr">
        <is>
          <t>跑题、无结构、通篇空喊口号</t>
        </is>
      </c>
    </row>
    <row r="8" ht="26" customHeight="1">
      <c r="A8" s="12" t="inlineStr">
        <is>
          <t>合计</t>
        </is>
      </c>
      <c r="B8" s="12">
        <f>SUM(B4:B7)</f>
        <v>100.0</v>
      </c>
      <c r="C8" s="12">
        <f>SUM(C4:C7)</f>
        <v>150.0</v>
      </c>
      <c r="D8" s="20">
        <f>SUM(D4:D7)</f>
        <v>1.0</v>
      </c>
      <c r="E8" s="12" t="inlineStr">
        <is>
          <t>69-74</t>
        </is>
      </c>
      <c r="F8" s="13" t="inlineStr">
        <is>
          <t>作文占 40%，是单题最高分值</t>
        </is>
      </c>
      <c r="G8" s="13" t="n"/>
    </row>
    <row r="10" ht="24" customHeight="1">
      <c r="A10" s="6" t="inlineStr">
        <is>
          <t>B 卷主题库（2026 年真题：乡村振兴与县域发展）</t>
        </is>
      </c>
    </row>
    <row r="11" ht="28" customHeight="1">
      <c r="A11" s="8" t="inlineStr">
        <is>
          <t>乡村振兴</t>
        </is>
      </c>
      <c r="B11" s="11" t="n"/>
      <c r="C11" s="11" t="inlineStr">
        <is>
          <t>产业振兴、土地流转、村集体经济、农村电商、返乡创业</t>
        </is>
      </c>
      <c r="D11" s="11" t="n"/>
      <c r="E11" s="11" t="n"/>
      <c r="F11" s="11" t="n"/>
      <c r="G11" s="11" t="n"/>
    </row>
    <row r="12" ht="28" customHeight="1">
      <c r="A12" s="8" t="inlineStr">
        <is>
          <t>县域经济</t>
        </is>
      </c>
      <c r="B12" s="11" t="n"/>
      <c r="C12" s="11" t="inlineStr">
        <is>
          <t>特色产业集群、传统产业转型升级、承接产业转移、园区经济</t>
        </is>
      </c>
      <c r="D12" s="11" t="n"/>
      <c r="E12" s="11" t="n"/>
      <c r="F12" s="11" t="n"/>
      <c r="G12" s="11" t="n"/>
    </row>
    <row r="13" ht="28" customHeight="1">
      <c r="A13" s="8" t="inlineStr">
        <is>
          <t>基层治理</t>
        </is>
      </c>
      <c r="B13" s="11" t="n"/>
      <c r="C13" s="11" t="inlineStr">
        <is>
          <t>网格化管理、矛盾纠纷调解、村级组织建设、减负增效</t>
        </is>
      </c>
      <c r="D13" s="11" t="n"/>
      <c r="E13" s="11" t="n"/>
      <c r="F13" s="11" t="n"/>
      <c r="G13" s="11" t="n"/>
    </row>
    <row r="14" ht="28" customHeight="1">
      <c r="A14" s="8" t="inlineStr">
        <is>
          <t>民生服务</t>
        </is>
      </c>
      <c r="B14" s="11" t="n"/>
      <c r="C14" s="11" t="inlineStr">
        <is>
          <t>教育医疗资源下沉、养老托育、人居环境整治、政务服务便民化</t>
        </is>
      </c>
      <c r="D14" s="11" t="n"/>
      <c r="E14" s="11" t="n"/>
      <c r="F14" s="11" t="n"/>
      <c r="G14" s="11" t="n"/>
    </row>
  </sheetData>
  <mergeCells count="11">
    <mergeCell ref="A1:G1"/>
    <mergeCell ref="C12:G12"/>
    <mergeCell ref="A11:B11"/>
    <mergeCell ref="C11:G11"/>
    <mergeCell ref="A13:B13"/>
    <mergeCell ref="A2:G2"/>
    <mergeCell ref="A14:B14"/>
    <mergeCell ref="C14:G14"/>
    <mergeCell ref="C13:G13"/>
    <mergeCell ref="A10:G10"/>
    <mergeCell ref="A12:B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52" customWidth="1" min="3" max="3"/>
    <col width="12" customWidth="1" min="4" max="4"/>
    <col width="4" customWidth="1" min="5" max="5"/>
    <col width="14" customWidth="1" min="6" max="6"/>
    <col width="22" customWidth="1" min="7" max="7"/>
    <col width="52" customWidth="1" min="8" max="8"/>
    <col width="12" customWidth="1" min="9" max="9"/>
  </cols>
  <sheetData>
    <row r="1" ht="34" customHeight="1">
      <c r="A1" s="1" t="inlineStr">
        <is>
          <t>每日 / 每周时间投入方案</t>
        </is>
      </c>
    </row>
    <row r="2" ht="22" customHeight="1">
      <c r="A2" s="2" t="inlineStr">
        <is>
          <t>左：在职备考（推荐）｜右：全职备考｜两套方案共用同一份 20 周计划，仅学时不同</t>
        </is>
      </c>
    </row>
    <row r="3" ht="24" customHeight="1">
      <c r="A3" s="6" t="inlineStr">
        <is>
          <t>方案 A｜在职备考（周均 22-25 h，冲刺期 30 h）</t>
        </is>
      </c>
    </row>
    <row r="4" ht="28" customHeight="1">
      <c r="A4" s="7" t="inlineStr">
        <is>
          <t>时段</t>
        </is>
      </c>
      <c r="B4" s="7" t="inlineStr">
        <is>
          <t>时间安排</t>
        </is>
      </c>
      <c r="C4" s="7" t="inlineStr">
        <is>
          <t>内容</t>
        </is>
      </c>
      <c r="D4" s="7" t="inlineStr">
        <is>
          <t>时长(h)</t>
        </is>
      </c>
    </row>
    <row r="5" ht="32" customHeight="1">
      <c r="A5" s="8" t="inlineStr">
        <is>
          <t>工作日·晨间</t>
        </is>
      </c>
      <c r="B5" s="8" t="inlineStr">
        <is>
          <t>06:40 - 07:40</t>
        </is>
      </c>
      <c r="C5" s="11" t="inlineStr">
        <is>
          <t>资料分析或判断推理专项（大脑最清醒时做计算类）</t>
        </is>
      </c>
      <c r="D5" s="8" t="n">
        <v>1</v>
      </c>
    </row>
    <row r="6" ht="32" customHeight="1">
      <c r="A6" s="8" t="inlineStr">
        <is>
          <t>工作日·午休</t>
        </is>
      </c>
      <c r="B6" s="8" t="inlineStr">
        <is>
          <t>12:30 - 13:00</t>
        </is>
      </c>
      <c r="C6" s="11" t="inlineStr">
        <is>
          <t>碎片记忆：政治理论、时政、错题回顾（不占整块）</t>
        </is>
      </c>
      <c r="D6" s="8" t="n">
        <v>0.5</v>
      </c>
    </row>
    <row r="7" ht="32" customHeight="1">
      <c r="A7" s="8" t="inlineStr">
        <is>
          <t>工作日·晚间</t>
        </is>
      </c>
      <c r="B7" s="8" t="inlineStr">
        <is>
          <t>20:00 - 21:30</t>
        </is>
      </c>
      <c r="C7" s="11" t="inlineStr">
        <is>
          <t>当日主科目推进＋做题，收尾10分钟整理错题</t>
        </is>
      </c>
      <c r="D7" s="8" t="n">
        <v>1.5</v>
      </c>
    </row>
    <row r="8" ht="32" customHeight="1">
      <c r="A8" s="8" t="inlineStr">
        <is>
          <t>周六</t>
        </is>
      </c>
      <c r="B8" s="8" t="inlineStr">
        <is>
          <t>09:00 - 12:00 / 14:00 - 17:00</t>
        </is>
      </c>
      <c r="C8" s="11" t="inlineStr">
        <is>
          <t>整块攻坚：模块专项或1套行测真题（严格限时）</t>
        </is>
      </c>
      <c r="D8" s="8" t="n">
        <v>6</v>
      </c>
    </row>
    <row r="9" ht="32" customHeight="1">
      <c r="A9" s="8" t="inlineStr">
        <is>
          <t>周日</t>
        </is>
      </c>
      <c r="B9" s="8" t="inlineStr">
        <is>
          <t>09:00 - 12:00</t>
        </is>
      </c>
      <c r="C9" s="11" t="inlineStr">
        <is>
          <t>申论1篇成文＋批改；下午复盘本周错题、排下周计划</t>
        </is>
      </c>
      <c r="D9" s="8" t="n">
        <v>4</v>
      </c>
    </row>
    <row r="10" ht="26" customHeight="1">
      <c r="A10" s="12" t="inlineStr">
        <is>
          <t>周合计</t>
        </is>
      </c>
      <c r="B10" s="13" t="n"/>
      <c r="C10" s="13" t="n"/>
      <c r="D10" s="12">
        <f>SUM(D5:D9)</f>
        <v>13.0</v>
      </c>
    </row>
    <row r="12" ht="24" customHeight="1">
      <c r="A12" s="6" t="inlineStr">
        <is>
          <t>方案 B｜全职备考（周均 50-55 h，周日休息）</t>
        </is>
      </c>
    </row>
    <row r="13" ht="28" customHeight="1">
      <c r="A13" s="7" t="inlineStr">
        <is>
          <t>时段</t>
        </is>
      </c>
      <c r="B13" s="7" t="inlineStr">
        <is>
          <t>时间安排</t>
        </is>
      </c>
      <c r="C13" s="7" t="inlineStr">
        <is>
          <t>内容</t>
        </is>
      </c>
      <c r="D13" s="7" t="inlineStr">
        <is>
          <t>时长(h)</t>
        </is>
      </c>
    </row>
    <row r="14" ht="32" customHeight="1">
      <c r="A14" s="8" t="inlineStr">
        <is>
          <t>上午</t>
        </is>
      </c>
      <c r="B14" s="8" t="inlineStr">
        <is>
          <t>08:30 - 11:30</t>
        </is>
      </c>
      <c r="C14" s="11" t="inlineStr">
        <is>
          <t>行测主科：专项学习＋限时训练（对应真实考试时段）</t>
        </is>
      </c>
      <c r="D14" s="8" t="n">
        <v>3</v>
      </c>
    </row>
    <row r="15" ht="32" customHeight="1">
      <c r="A15" s="8" t="inlineStr">
        <is>
          <t>下午</t>
        </is>
      </c>
      <c r="B15" s="8" t="inlineStr">
        <is>
          <t>14:00 - 17:30</t>
        </is>
      </c>
      <c r="C15" s="11" t="inlineStr">
        <is>
          <t>申论或行测第二科；14:00起对应申论考试时段</t>
        </is>
      </c>
      <c r="D15" s="8" t="n">
        <v>3.5</v>
      </c>
    </row>
    <row r="16" ht="32" customHeight="1">
      <c r="A16" s="8" t="inlineStr">
        <is>
          <t>晚上</t>
        </is>
      </c>
      <c r="B16" s="8" t="inlineStr">
        <is>
          <t>19:00 - 21:00</t>
        </is>
      </c>
      <c r="C16" s="11" t="inlineStr">
        <is>
          <t>错题整理、知识点回炉、时政积累</t>
        </is>
      </c>
      <c r="D16" s="8" t="n">
        <v>2</v>
      </c>
    </row>
    <row r="17" ht="32" customHeight="1">
      <c r="A17" s="8" t="inlineStr">
        <is>
          <t>周一至周六</t>
        </is>
      </c>
      <c r="B17" s="8" t="inlineStr">
        <is>
          <t>—</t>
        </is>
      </c>
      <c r="C17" s="11" t="inlineStr">
        <is>
          <t>以上三段循环，每周固定复盘一次</t>
        </is>
      </c>
      <c r="D17" s="8" t="n">
        <v>51</v>
      </c>
    </row>
    <row r="18" ht="32" customHeight="1">
      <c r="A18" s="8" t="inlineStr">
        <is>
          <t>周日</t>
        </is>
      </c>
      <c r="B18" s="8" t="inlineStr">
        <is>
          <t>—</t>
        </is>
      </c>
      <c r="C18" s="11" t="inlineStr">
        <is>
          <t>完全休息或只做轻量复盘，防止倦怠</t>
        </is>
      </c>
      <c r="D18" s="8" t="n">
        <v>0</v>
      </c>
    </row>
    <row r="21" ht="24" customHeight="1">
      <c r="A21" s="6" t="inlineStr">
        <is>
          <t>两种方案对比与选择建议</t>
        </is>
      </c>
    </row>
    <row r="22" ht="28" customHeight="1">
      <c r="A22" s="7" t="inlineStr">
        <is>
          <t>项目</t>
        </is>
      </c>
      <c r="B22" s="7" t="inlineStr">
        <is>
          <t>在职备考</t>
        </is>
      </c>
      <c r="C22" s="14" t="n"/>
      <c r="D22" s="7" t="inlineStr">
        <is>
          <t>全职备考</t>
        </is>
      </c>
      <c r="E22" s="15" t="n"/>
      <c r="F22" s="15" t="n"/>
      <c r="G22" s="15" t="n"/>
      <c r="H22" s="15" t="n"/>
      <c r="I22" s="14" t="n"/>
    </row>
    <row r="23" ht="32" customHeight="1">
      <c r="A23" s="8" t="inlineStr">
        <is>
          <t>日均时长</t>
        </is>
      </c>
      <c r="B23" s="11" t="inlineStr">
        <is>
          <t>3.0 h（工作日）/ 5.0 h（周末）</t>
        </is>
      </c>
      <c r="C23" s="11" t="n"/>
      <c r="D23" s="11" t="inlineStr">
        <is>
          <t>8.5 h</t>
        </is>
      </c>
      <c r="E23" s="11" t="n"/>
      <c r="F23" s="11" t="n"/>
      <c r="G23" s="11" t="n"/>
      <c r="H23" s="11" t="n"/>
      <c r="I23" s="11" t="n"/>
    </row>
    <row r="24" ht="32" customHeight="1">
      <c r="A24" s="8" t="inlineStr">
        <is>
          <t>周均时长</t>
        </is>
      </c>
      <c r="B24" s="11" t="inlineStr">
        <is>
          <t>22 - 25 h（冲刺期 30 h）</t>
        </is>
      </c>
      <c r="C24" s="11" t="n"/>
      <c r="D24" s="11" t="inlineStr">
        <is>
          <t>50 - 55 h</t>
        </is>
      </c>
      <c r="E24" s="11" t="n"/>
      <c r="F24" s="11" t="n"/>
      <c r="G24" s="11" t="n"/>
      <c r="H24" s="11" t="n"/>
      <c r="I24" s="11" t="n"/>
    </row>
    <row r="25" ht="32" customHeight="1">
      <c r="A25" s="8" t="inlineStr">
        <is>
          <t>20 周总量</t>
        </is>
      </c>
      <c r="B25" s="11" t="inlineStr">
        <is>
          <t>约 440 - 500 h</t>
        </is>
      </c>
      <c r="C25" s="11" t="n"/>
      <c r="D25" s="11" t="inlineStr">
        <is>
          <t>约 1000 - 1100 h</t>
        </is>
      </c>
      <c r="E25" s="11" t="n"/>
      <c r="F25" s="11" t="n"/>
      <c r="G25" s="11" t="n"/>
      <c r="H25" s="11" t="n"/>
      <c r="I25" s="11" t="n"/>
    </row>
    <row r="26" ht="32" customHeight="1">
      <c r="A26" s="8" t="inlineStr">
        <is>
          <t>适合人群</t>
        </is>
      </c>
      <c r="B26" s="11" t="inlineStr">
        <is>
          <t>有稳定工作、风险厌恶、有家庭负担</t>
        </is>
      </c>
      <c r="C26" s="11" t="n"/>
      <c r="D26" s="11" t="inlineStr">
        <is>
          <t>应届未就业、已离职、存款可覆盖半年</t>
        </is>
      </c>
      <c r="E26" s="11" t="n"/>
      <c r="F26" s="11" t="n"/>
      <c r="G26" s="11" t="n"/>
      <c r="H26" s="11" t="n"/>
      <c r="I26" s="11" t="n"/>
    </row>
    <row r="27" ht="32" customHeight="1">
      <c r="A27" s="8" t="inlineStr">
        <is>
          <t>主要风险</t>
        </is>
      </c>
      <c r="B27" s="11" t="inlineStr">
        <is>
          <t>时间碎片化、易中断、进度滞后</t>
        </is>
      </c>
      <c r="C27" s="11" t="n"/>
      <c r="D27" s="11" t="inlineStr">
        <is>
          <t>心理压力大、机会成本高、易疲劳战</t>
        </is>
      </c>
      <c r="E27" s="11" t="n"/>
      <c r="F27" s="11" t="n"/>
      <c r="G27" s="11" t="n"/>
      <c r="H27" s="11" t="n"/>
      <c r="I27" s="11" t="n"/>
    </row>
    <row r="28" ht="32" customHeight="1">
      <c r="A28" s="8" t="inlineStr">
        <is>
          <t>启动建议</t>
        </is>
      </c>
      <c r="B28" s="11" t="inlineStr">
        <is>
          <t>理想提前 7-8 个月；仅剩 4.5 个月则必须做减法</t>
        </is>
      </c>
      <c r="C28" s="11" t="n"/>
      <c r="D28" s="11" t="inlineStr">
        <is>
          <t>控制在 4-5 个月，超过 6 个月效率递减</t>
        </is>
      </c>
      <c r="E28" s="11" t="n"/>
      <c r="F28" s="11" t="n"/>
      <c r="G28" s="11" t="n"/>
      <c r="H28" s="11" t="n"/>
      <c r="I28" s="11" t="n"/>
    </row>
    <row r="29" ht="32" customHeight="1">
      <c r="A29" s="8" t="inlineStr">
        <is>
          <t>取舍策略</t>
        </is>
      </c>
      <c r="B29" s="11" t="inlineStr">
        <is>
          <t>砍常识系统复习与数量难题，保资料＋判断＋言语＋申论</t>
        </is>
      </c>
      <c r="C29" s="11" t="n"/>
      <c r="D29" s="11" t="inlineStr">
        <is>
          <t>可完整覆盖六模块，但须防“假努力”式刷题</t>
        </is>
      </c>
      <c r="E29" s="11" t="n"/>
      <c r="F29" s="11" t="n"/>
      <c r="G29" s="11" t="n"/>
      <c r="H29" s="11" t="n"/>
      <c r="I29" s="11" t="n"/>
    </row>
  </sheetData>
  <mergeCells count="22">
    <mergeCell ref="D27:I27"/>
    <mergeCell ref="B25:C25"/>
    <mergeCell ref="B22:C22"/>
    <mergeCell ref="B27:C27"/>
    <mergeCell ref="A21:I21"/>
    <mergeCell ref="A2:I2"/>
    <mergeCell ref="D28:I28"/>
    <mergeCell ref="B23:C23"/>
    <mergeCell ref="D25:I25"/>
    <mergeCell ref="A12:H12"/>
    <mergeCell ref="A10:C10"/>
    <mergeCell ref="D24:I24"/>
    <mergeCell ref="B29:C29"/>
    <mergeCell ref="D29:I29"/>
    <mergeCell ref="D23:I23"/>
    <mergeCell ref="B28:C28"/>
    <mergeCell ref="D26:I26"/>
    <mergeCell ref="B24:C24"/>
    <mergeCell ref="D22:I22"/>
    <mergeCell ref="A3:D3"/>
    <mergeCell ref="A1:I1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WorkBuddy</dc:creator>
  <dc:title xmlns:dc="http://purl.org/dc/elements/1.1/">2027年安徽省考备考规划</dc:title>
  <dcterms:created xmlns:dcterms="http://purl.org/dc/terms/" xmlns:xsi="http://www.w3.org/2001/XMLSchema-instance" xsi:type="dcterms:W3CDTF">2026-10-27T03:44:21Z</dcterms:created>
  <dcterms:modified xmlns:dcterms="http://purl.org/dc/terms/" xmlns:xsi="http://www.w3.org/2001/XMLSchema-instance" xsi:type="dcterms:W3CDTF">2026-10-27T03:44:21Z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{"Label":"1","ContentProducer":"00119111010856365494821B355","ProduceID":"b638d783cfbf491699473cc73b0857dd","ContentPropagator":"00119111010856365494821B355","PropagateID":"b638d783cfbf491699473cc73b0857dd"}</vt:lpwstr>
  </property>
</Properties>
</file>